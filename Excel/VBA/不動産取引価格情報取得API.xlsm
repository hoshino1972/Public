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shino_n\Documents\UNION\作成\VBA\"/>
    </mc:Choice>
  </mc:AlternateContent>
  <xr:revisionPtr revIDLastSave="0" documentId="13_ncr:1_{9431E79F-EA52-47A8-BA1A-87FFA4BE5618}" xr6:coauthVersionLast="47" xr6:coauthVersionMax="47" xr10:uidLastSave="{00000000-0000-0000-0000-000000000000}"/>
  <bookViews>
    <workbookView xWindow="-108" yWindow="-108" windowWidth="23256" windowHeight="12720" activeTab="1" xr2:uid="{57285CE2-1593-428D-A992-1981B84EB775}"/>
  </bookViews>
  <sheets>
    <sheet name="説明" sheetId="7" r:id="rId1"/>
    <sheet name="実行" sheetId="6" r:id="rId2"/>
    <sheet name="リスト" sheetId="1" r:id="rId3"/>
    <sheet name="都道府県コード" sheetId="8" r:id="rId4"/>
    <sheet name="市区町村コード" sheetId="9" r:id="rId5"/>
    <sheet name="駅コード" sheetId="10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0" i="6" l="1"/>
  <c r="H4" i="6"/>
  <c r="G4" i="6"/>
  <c r="G7" i="6"/>
</calcChain>
</file>

<file path=xl/sharedStrings.xml><?xml version="1.0" encoding="utf-8"?>
<sst xmlns="http://schemas.openxmlformats.org/spreadsheetml/2006/main" count="255" uniqueCount="213">
  <si>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</si>
  <si>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</si>
  <si>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</si>
  <si>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</si>
  <si>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</si>
  <si>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</si>
  <si>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</si>
  <si>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</si>
  <si>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</si>
  <si>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</si>
  <si>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前橋市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</si>
  <si>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</si>
  <si>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</si>
  <si>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</si>
  <si>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</si>
  <si>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</si>
  <si>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</si>
  <si>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</si>
  <si>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</si>
  <si>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</si>
  <si>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</si>
  <si>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</si>
  <si>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</si>
  <si>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</si>
  <si>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</si>
  <si>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</si>
  <si>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</si>
  <si>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</si>
  <si>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</si>
  <si>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</si>
  <si>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</si>
  <si>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</si>
  <si>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</si>
  <si>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</si>
  <si>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</si>
  <si>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</si>
  <si>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</si>
  <si>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</si>
  <si>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</si>
  <si>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</si>
  <si>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</si>
  <si>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</si>
  <si>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</si>
  <si>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</si>
  <si>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</si>
  <si>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</si>
  <si>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</si>
  <si>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</si>
  <si>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都道府県コード</t>
  </si>
  <si>
    <t>日本語表記</t>
  </si>
  <si>
    <t>英語表記</t>
  </si>
  <si>
    <t>Hokkaido</t>
  </si>
  <si>
    <t>Aomori Prefecture</t>
  </si>
  <si>
    <t>Iwate Prefecture</t>
  </si>
  <si>
    <t>Miyagi Prefecture</t>
  </si>
  <si>
    <t>Akita Prefecture</t>
  </si>
  <si>
    <t>Yamagata Prefecture</t>
  </si>
  <si>
    <t>Fukushima Prefecture</t>
  </si>
  <si>
    <t>Ibaraki Prefecture</t>
  </si>
  <si>
    <t>Tochigi Prefecture</t>
  </si>
  <si>
    <t>Gunma Prefecture</t>
  </si>
  <si>
    <t>Saitama Prefecture</t>
  </si>
  <si>
    <t>Chiba Prefecture</t>
  </si>
  <si>
    <t>Tokyo</t>
  </si>
  <si>
    <t>Kanagawa Prefecture</t>
  </si>
  <si>
    <t>Niigata Prefecture</t>
  </si>
  <si>
    <t>Toyama Prefecture</t>
  </si>
  <si>
    <t>Ishikawa Prefecture</t>
  </si>
  <si>
    <t>Fukui Prefecture</t>
  </si>
  <si>
    <t>Yamanashi Prefecture</t>
  </si>
  <si>
    <t>Nagano Prefecture</t>
  </si>
  <si>
    <t>Gifu Prefecture</t>
  </si>
  <si>
    <t>Shizuoka Prefecture</t>
  </si>
  <si>
    <t>Aichi Prefecture</t>
  </si>
  <si>
    <t>Mie Prefecture</t>
  </si>
  <si>
    <t>Shiga Prefecture</t>
  </si>
  <si>
    <t>Kyoto Prefecture</t>
  </si>
  <si>
    <t>Osaka Prefecture</t>
  </si>
  <si>
    <t>Hyogo Prefecture</t>
  </si>
  <si>
    <t>Nara Prefecture</t>
  </si>
  <si>
    <t>Wakayama Prefecture</t>
  </si>
  <si>
    <t>Tottori Prefecture</t>
  </si>
  <si>
    <t>Shimane Prefecture</t>
  </si>
  <si>
    <t>Okayama Prefecture</t>
  </si>
  <si>
    <t>Hiroshima Prefecture</t>
  </si>
  <si>
    <t>Yamaguchi Prefecture</t>
  </si>
  <si>
    <t>Tokushima Prefecture</t>
  </si>
  <si>
    <t>Kagawa Prefecture</t>
  </si>
  <si>
    <t>Ehime Prefecture</t>
  </si>
  <si>
    <t>Kochi Prefecture</t>
  </si>
  <si>
    <t>Fukuoka Prefecture</t>
  </si>
  <si>
    <t>Saga Prefecture</t>
  </si>
  <si>
    <t>Nagasaki Prefecture</t>
  </si>
  <si>
    <t>Kumamoto Prefecture</t>
  </si>
  <si>
    <t>Oita Prefecture</t>
  </si>
  <si>
    <t>Miyazaki Prefecture</t>
  </si>
  <si>
    <t>Kagoshima Prefecture</t>
  </si>
  <si>
    <t>Okinawa Prefecture</t>
  </si>
  <si>
    <t>不整形</t>
  </si>
  <si>
    <t>宅地(土地と建物)</t>
  </si>
  <si>
    <t>住宅</t>
  </si>
  <si>
    <t>北西</t>
  </si>
  <si>
    <t>ほぼ長方形</t>
  </si>
  <si>
    <t>北東</t>
  </si>
  <si>
    <t>南西</t>
  </si>
  <si>
    <t>ＲＣ</t>
  </si>
  <si>
    <t>正方形</t>
  </si>
  <si>
    <t>2000㎡以上</t>
  </si>
  <si>
    <t>商業地</t>
  </si>
  <si>
    <t>商業地域</t>
  </si>
  <si>
    <t>中古マンション等</t>
  </si>
  <si>
    <t>昭和63年</t>
  </si>
  <si>
    <t>ＳＲＣ</t>
  </si>
  <si>
    <t>昭和64年</t>
  </si>
  <si>
    <t>千代田町</t>
  </si>
  <si>
    <t>高崎市</t>
  </si>
  <si>
    <t>桐生市</t>
  </si>
  <si>
    <t>伊勢崎市</t>
  </si>
  <si>
    <t>太田市</t>
  </si>
  <si>
    <t>沼田市</t>
  </si>
  <si>
    <t>館林市</t>
  </si>
  <si>
    <t>渋川市</t>
  </si>
  <si>
    <t>藤岡市</t>
  </si>
  <si>
    <t>富岡市</t>
  </si>
  <si>
    <t>安中市</t>
  </si>
  <si>
    <t>みどり市</t>
  </si>
  <si>
    <t>取引の種類</t>
  </si>
  <si>
    <t>地区</t>
  </si>
  <si>
    <t>市区町村コード</t>
  </si>
  <si>
    <t>都道府県名</t>
  </si>
  <si>
    <t>市区町村名</t>
  </si>
  <si>
    <t>地区名</t>
  </si>
  <si>
    <t>取引価格（総額）</t>
  </si>
  <si>
    <t>坪単価</t>
  </si>
  <si>
    <t>間取り</t>
  </si>
  <si>
    <t>面積（平方メートル）</t>
  </si>
  <si>
    <t>取引価格（平方メートル単価）</t>
  </si>
  <si>
    <t>土地の形状</t>
  </si>
  <si>
    <t>間口</t>
  </si>
  <si>
    <t>延床面積(平方メートル)</t>
  </si>
  <si>
    <t>建物の構造</t>
  </si>
  <si>
    <t>用途</t>
  </si>
  <si>
    <t>今後の利用目的</t>
  </si>
  <si>
    <t>前面道路：方位</t>
  </si>
  <si>
    <t>前面道路：種類</t>
  </si>
  <si>
    <t>前面道路：幅員（ｍ）</t>
  </si>
  <si>
    <t>都市計画</t>
  </si>
  <si>
    <t>建ぺい率（％）</t>
  </si>
  <si>
    <t>容積率（％）</t>
  </si>
  <si>
    <t>取引時点</t>
  </si>
  <si>
    <t>改装</t>
  </si>
  <si>
    <t>取引の事情等</t>
  </si>
  <si>
    <t>建築年</t>
    <phoneticPr fontId="1"/>
  </si>
  <si>
    <t>私道を含む取引</t>
  </si>
  <si>
    <t>未改装</t>
  </si>
  <si>
    <t>１Ｋ</t>
  </si>
  <si>
    <t>不動産取引価格情報取得APIサンプル</t>
    <phoneticPr fontId="1"/>
  </si>
  <si>
    <t>英語表記</t>
    <rPh sb="0" eb="4">
      <t>エイゴヒョウキ</t>
    </rPh>
    <phoneticPr fontId="1"/>
  </si>
  <si>
    <t>コード</t>
    <phoneticPr fontId="1"/>
  </si>
  <si>
    <t>都道府県</t>
    <phoneticPr fontId="1"/>
  </si>
  <si>
    <t>四半期</t>
    <rPh sb="0" eb="3">
      <t>シハンキ</t>
    </rPh>
    <phoneticPr fontId="1"/>
  </si>
  <si>
    <t>年</t>
    <rPh sb="0" eb="1">
      <t>ドシ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</si>
  <si>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</si>
  <si>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</si>
  <si>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不動産取引価格情報取得API使用サンプル</t>
    <rPh sb="14" eb="16">
      <t>シヨウ</t>
    </rPh>
    <phoneticPr fontId="1"/>
  </si>
  <si>
    <t>https://www.land.mlit.go.jp/webland/</t>
    <phoneticPr fontId="1"/>
  </si>
  <si>
    <t>土地総合情報システム</t>
    <rPh sb="0" eb="2">
      <t>トチ</t>
    </rPh>
    <rPh sb="2" eb="4">
      <t>ソウゴウ</t>
    </rPh>
    <rPh sb="4" eb="6">
      <t>ジョウホウ</t>
    </rPh>
    <phoneticPr fontId="1"/>
  </si>
  <si>
    <t>コード</t>
    <phoneticPr fontId="1"/>
  </si>
  <si>
    <t>市区町村名</t>
    <rPh sb="0" eb="4">
      <t>シクチョウソン</t>
    </rPh>
    <rPh sb="4" eb="5">
      <t>メイ</t>
    </rPh>
    <phoneticPr fontId="1"/>
  </si>
  <si>
    <t>市区町村</t>
    <rPh sb="0" eb="4">
      <t>シクチョウソン</t>
    </rPh>
    <phoneticPr fontId="1"/>
  </si>
  <si>
    <t>榛東村</t>
  </si>
  <si>
    <t>吉岡町</t>
  </si>
  <si>
    <t>上野村</t>
  </si>
  <si>
    <t>神流町</t>
  </si>
  <si>
    <t>下仁田町</t>
  </si>
  <si>
    <t>南牧村</t>
  </si>
  <si>
    <t>甘楽町</t>
  </si>
  <si>
    <t>中之条町</t>
  </si>
  <si>
    <t>長野原町</t>
  </si>
  <si>
    <t>嬬恋村</t>
  </si>
  <si>
    <t>草津町</t>
  </si>
  <si>
    <t>高山村</t>
  </si>
  <si>
    <t>東吾妻町</t>
  </si>
  <si>
    <t>片品村</t>
  </si>
  <si>
    <t>川場村</t>
  </si>
  <si>
    <t>昭和村</t>
  </si>
  <si>
    <t>みなかみ町</t>
  </si>
  <si>
    <t>玉村町</t>
  </si>
  <si>
    <t>板倉町</t>
  </si>
  <si>
    <t>明和町</t>
  </si>
  <si>
    <t>大泉町</t>
  </si>
  <si>
    <t>邑楽町</t>
  </si>
  <si>
    <t>https://www.land.mlit.go.jp/webland/api.html</t>
    <phoneticPr fontId="1"/>
  </si>
  <si>
    <t>API操作説明</t>
    <phoneticPr fontId="1"/>
  </si>
  <si>
    <t>駅名</t>
    <rPh sb="0" eb="2">
      <t>エキメイ</t>
    </rPh>
    <phoneticPr fontId="1"/>
  </si>
  <si>
    <t>東京駅</t>
    <rPh sb="0" eb="2">
      <t>トウキョウ</t>
    </rPh>
    <rPh sb="2" eb="3">
      <t>エキ</t>
    </rPh>
    <phoneticPr fontId="1"/>
  </si>
  <si>
    <t>駅</t>
    <rPh sb="0" eb="1">
      <t>エキ</t>
    </rPh>
    <phoneticPr fontId="1"/>
  </si>
  <si>
    <t>※駅コードを使用する場合は株式会社ゼンリンと契約締結する必要あり</t>
    <phoneticPr fontId="1"/>
  </si>
  <si>
    <t>13102</t>
  </si>
  <si>
    <t>中央区</t>
  </si>
  <si>
    <t>八重洲</t>
  </si>
  <si>
    <t>昭和37年</t>
  </si>
  <si>
    <t>住宅、事務所、店舗</t>
  </si>
  <si>
    <t>区道</t>
  </si>
  <si>
    <t>2010年第４四半期</t>
  </si>
  <si>
    <t>日本橋</t>
  </si>
  <si>
    <t>2013年第４四半期</t>
  </si>
  <si>
    <t>事務所、店舗</t>
  </si>
  <si>
    <t>都道</t>
  </si>
  <si>
    <t>2013年第３四半期</t>
  </si>
  <si>
    <t>昭和49年</t>
  </si>
  <si>
    <t>2013年第１四半期</t>
  </si>
  <si>
    <t>宅地(土地と建物)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</si>
</sst>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;@"/>
    <numFmt numFmtId="177" formatCode="h:mm;@"/>
    <numFmt numFmtId="178" formatCode="#,##0_ "/>
    <numFmt numFmtId="179" formatCode="0_);[Red]\(0\)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0"/>
      <name val="メイリオ"/>
      <family val="3"/>
      <charset val="128"/>
    </font>
    <font>
      <sz val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Protection="1">
      <alignment vertical="center"/>
      <protection locked="0"/>
    </xf>
    <xf numFmtId="0" fontId="2" fillId="0" borderId="0" xfId="1">
      <alignment vertical="center"/>
    </xf>
    <xf numFmtId="0" fontId="4" fillId="0" borderId="0" xfId="0" applyFont="1">
      <alignment vertical="center"/>
    </xf>
    <xf numFmtId="0" fontId="4" fillId="4" borderId="0" xfId="0" applyFont="1" applyFill="1">
      <alignment vertical="center"/>
    </xf>
    <xf numFmtId="0" fontId="0" fillId="4" borderId="0" xfId="0" applyFill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>
      <alignment vertical="center"/>
    </xf>
    <xf numFmtId="0" fontId="5" fillId="0" borderId="0" xfId="0" applyFont="1" applyFill="1" applyBorder="1" applyAlignment="1">
      <alignment vertical="center" wrapText="1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3" fillId="2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horizontal="center" vertical="center" textRotation="255"/>
    </xf>
    <xf numFmtId="0" fontId="0" fillId="0" borderId="3" xfId="0" applyBorder="1" applyAlignment="1">
      <alignment horizontal="center" vertical="center" textRotation="255"/>
    </xf>
  </cellXfs>
  <cellStyles count="2">
    <cellStyle name="ハイパーリンク" xfId="1" builtinId="8"/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78" formatCode="#,##0_ "/>
    </dxf>
    <dxf>
      <numFmt numFmtId="178" formatCode="#,##0_ "/>
    </dxf>
    <dxf>
      <numFmt numFmtId="178" formatCode="#,##0_ "/>
    </dxf>
    <dxf>
      <numFmt numFmtId="30" formatCode="@"/>
    </dxf>
    <dxf>
      <numFmt numFmtId="177" formatCode="h:mm;@"/>
    </dxf>
    <dxf>
      <numFmt numFmtId="176" formatCode="yyyy/m/d;@"/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9</xdr:row>
          <xdr:rowOff>30480</xdr:rowOff>
        </xdr:from>
        <xdr:to>
          <xdr:col>2</xdr:col>
          <xdr:colOff>830580</xdr:colOff>
          <xdr:row>11</xdr:row>
          <xdr:rowOff>0</xdr:rowOff>
        </xdr:to>
        <xdr:sp macro="" textlink="">
          <xdr:nvSpPr>
            <xdr:cNvPr id="6146" name="cmdSubmi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</xdr:colOff>
          <xdr:row>5</xdr:row>
          <xdr:rowOff>30480</xdr:rowOff>
        </xdr:from>
        <xdr:to>
          <xdr:col>7</xdr:col>
          <xdr:colOff>1684020</xdr:colOff>
          <xdr:row>7</xdr:row>
          <xdr:rowOff>0</xdr:rowOff>
        </xdr:to>
        <xdr:sp macro="" textlink="">
          <xdr:nvSpPr>
            <xdr:cNvPr id="6151" name="cmdGetCityList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207EEA-07E0-4617-BA0D-C5FECC29A327}" name="Table不動産取引価格情報" displayName="Table不動産取引価格情報" ref="A1:AA6" totalsRowShown="0">
  <autoFilter ref="A1:AA6" xr:uid="{D1207EEA-07E0-4617-BA0D-C5FECC29A327}"/>
  <tableColumns count="27">
    <tableColumn id="1" xr3:uid="{AFDDFF66-764E-47DA-9FBC-0DA323040440}" name="取引の種類" dataDxfId="10"/>
    <tableColumn id="3" xr3:uid="{3DB1F98E-5764-4783-BF6C-5D078E2D6038}" name="地区" dataDxfId="9"/>
    <tableColumn id="2" xr3:uid="{F1FEE84B-9CA1-4F32-B233-7916309D20CE}" name="市区町村コード" dataDxfId="8"/>
    <tableColumn id="4" xr3:uid="{53C19B72-26D8-4FBD-8922-E03ECCA464F1}" name="都道府県名"/>
    <tableColumn id="5" xr3:uid="{C6FF904A-0E4D-4FAC-867E-3852226C925A}" name="市区町村名"/>
    <tableColumn id="6" xr3:uid="{7086A707-FF3A-4CF7-ABB9-FBA85F7F50CF}" name="地区名"/>
    <tableColumn id="7" xr3:uid="{0B16BCAD-55FF-4010-A6FE-6954B242644D}" name="取引価格（総額）" dataDxfId="7"/>
    <tableColumn id="8" xr3:uid="{76DC57DC-7108-4FBA-A57C-8E09743FA23D}" name="坪単価" dataDxfId="6"/>
    <tableColumn id="9" xr3:uid="{EEF56FD3-5EBD-4D07-9D6D-56F896BA4EC7}" name="間取り"/>
    <tableColumn id="10" xr3:uid="{FE7DBBCB-2108-434B-801E-7DF9BF2C1F38}" name="面積（平方メートル）"/>
    <tableColumn id="11" xr3:uid="{AE745621-2937-4CCA-BE5A-FD0761D63D9C}" name="取引価格（平方メートル単価）" dataDxfId="5"/>
    <tableColumn id="12" xr3:uid="{C414975A-C4EF-48D4-B7D9-AE228DA69D8D}" name="土地の形状"/>
    <tableColumn id="13" xr3:uid="{CEBDF133-38EC-47BC-83EB-A3CE94C90E0B}" name="間口"/>
    <tableColumn id="14" xr3:uid="{6F8A5600-99CC-4B25-9129-CDB30DE79A06}" name="延床面積(平方メートル)"/>
    <tableColumn id="15" xr3:uid="{7990A1DB-3594-40A1-8C31-2639399E82A7}" name="建築年"/>
    <tableColumn id="16" xr3:uid="{7C77AC78-E3D7-4BB7-A0CA-4212D488D483}" name="建物の構造"/>
    <tableColumn id="17" xr3:uid="{CFE8D1B2-C222-4419-BBC7-94D5374AD538}" name="用途"/>
    <tableColumn id="18" xr3:uid="{AA22BF82-4D50-4734-BE4E-4F74BF9A61FA}" name="今後の利用目的"/>
    <tableColumn id="19" xr3:uid="{03A6C980-A7C3-410B-BA42-BDAA4E60F049}" name="前面道路：方位"/>
    <tableColumn id="20" xr3:uid="{FBE5E8D4-A2DF-43D1-A10A-4326C00B92CF}" name="前面道路：種類"/>
    <tableColumn id="21" xr3:uid="{321AB91F-372D-423A-B34C-E2BE9EA268B0}" name="前面道路：幅員（ｍ）"/>
    <tableColumn id="22" xr3:uid="{3AD2AA56-E6C5-4BFC-8623-2760384C3384}" name="都市計画"/>
    <tableColumn id="23" xr3:uid="{31DCE23C-220F-4276-88E9-C73843BC70C4}" name="建ぺい率（％）"/>
    <tableColumn id="24" xr3:uid="{464AE43E-1D41-41B6-952F-F361EE0CA21E}" name="容積率（％）"/>
    <tableColumn id="25" xr3:uid="{4B34D904-3AF0-4429-A7E5-81AFD2DB8AF6}" name="取引時点"/>
    <tableColumn id="26" xr3:uid="{340D9BE7-031D-4181-809D-E4AB19A6C0D9}" name="改装"/>
    <tableColumn id="27" xr3:uid="{B3095283-B0B1-4552-B944-D273A1E98E8F}" name="取引の事情等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2F58B9-106D-438B-A57A-14080594C2AB}" name="Table都道府県" displayName="Table都道府県" ref="A1:C48" totalsRowShown="0" headerRowDxfId="4" dataDxfId="3">
  <autoFilter ref="A1:C48" xr:uid="{F82F58B9-106D-438B-A57A-14080594C2AB}"/>
  <tableColumns count="3">
    <tableColumn id="1" xr3:uid="{294012CA-C285-4D18-847E-FFBC3012C59E}" name="都道府県コード" dataDxfId="2"/>
    <tableColumn id="2" xr3:uid="{A941C7A4-D5C2-4174-BC68-130D6E72B644}" name="日本語表記" dataDxfId="1"/>
    <tableColumn id="3" xr3:uid="{A42C334B-35DF-46AD-8D32-5D49C53FD000}" name="英語表記" dataDxfId="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35C857-D8A7-4C21-82D3-8113C85FDC66}" name="Table市区町村" displayName="Table市区町村" ref="A1:B36" totalsRowShown="0">
  <autoFilter ref="A1:B36" xr:uid="{0235C857-D8A7-4C21-82D3-8113C85FDC66}"/>
  <tableColumns count="2">
    <tableColumn id="1" xr3:uid="{82A37A18-A79A-4865-927E-70799FCF6301}" name="コード"/>
    <tableColumn id="2" xr3:uid="{399CE3EA-DC27-4841-A966-2387A1A8DFEF}" name="市区町村名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7C80AF-2D57-4D56-B020-B3FE6BC64B51}" name="Table駅" displayName="Table駅" ref="A1:B2" totalsRowShown="0">
  <autoFilter ref="A1:B2" xr:uid="{FE7C80AF-2D57-4D56-B020-B3FE6BC64B51}"/>
  <tableColumns count="2">
    <tableColumn id="1" xr3:uid="{9E207412-22B8-404C-A4DE-DAAE0CC0A4B1}" name="コード"/>
    <tableColumn id="2" xr3:uid="{383D07D3-E8B4-405E-9166-C53D78B971E1}" name="駅名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land.mlit.go.jp/webland/api.html" TargetMode="External"/><Relationship Id="rId1" Type="http://schemas.openxmlformats.org/officeDocument/2006/relationships/hyperlink" Target="https://www.land.mlit.go.jp/webland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9DF29-108F-4FDA-A509-7CD54FF2EBA4}">
  <sheetPr codeName="SheetDescription"/>
  <dimension ref="B2:D8"/>
  <sheetViews>
    <sheetView showGridLines="0" workbookViewId="0">
      <selection activeCell="E22" sqref="E22"/>
    </sheetView>
  </sheetViews>
  <sheetFormatPr defaultColWidth="4.19921875" defaultRowHeight="18" x14ac:dyDescent="0.45"/>
  <sheetData>
    <row r="2" spans="2:4" x14ac:dyDescent="0.45">
      <c r="B2" s="7" t="s">
        <v>164</v>
      </c>
    </row>
    <row r="4" spans="2:4" x14ac:dyDescent="0.45">
      <c r="C4" s="7" t="s">
        <v>166</v>
      </c>
    </row>
    <row r="5" spans="2:4" x14ac:dyDescent="0.45">
      <c r="D5" s="6" t="s">
        <v>165</v>
      </c>
    </row>
    <row r="7" spans="2:4" x14ac:dyDescent="0.45">
      <c r="C7" s="7" t="s">
        <v>193</v>
      </c>
    </row>
    <row r="8" spans="2:4" x14ac:dyDescent="0.45">
      <c r="D8" s="6" t="s">
        <v>192</v>
      </c>
    </row>
  </sheetData>
  <phoneticPr fontId="1"/>
  <hyperlinks>
    <hyperlink ref="D5" r:id="rId1" xr:uid="{052346B1-8A02-4FFC-B82B-EEBDAB736F20}"/>
    <hyperlink ref="D8" r:id="rId2" xr:uid="{49922F17-2682-4A9E-A7BB-F0F95ED6029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C0D19-BA7F-41BC-814E-A2F73808E912}">
  <sheetPr codeName="SheetCommand"/>
  <dimension ref="B1:H10"/>
  <sheetViews>
    <sheetView showGridLines="0" tabSelected="1" workbookViewId="0">
      <selection activeCell="F12" sqref="F12"/>
    </sheetView>
  </sheetViews>
  <sheetFormatPr defaultRowHeight="18" x14ac:dyDescent="0.45"/>
  <cols>
    <col min="1" max="1" width="2.19921875" customWidth="1"/>
    <col min="2" max="2" width="5" customWidth="1"/>
    <col min="3" max="3" width="11.796875" customWidth="1"/>
    <col min="4" max="4" width="6.796875" bestFit="1" customWidth="1"/>
    <col min="5" max="5" width="8.796875" customWidth="1"/>
    <col min="6" max="6" width="12.19921875" customWidth="1"/>
    <col min="7" max="7" width="6.796875" bestFit="1" customWidth="1"/>
    <col min="8" max="8" width="26.8984375" customWidth="1"/>
  </cols>
  <sheetData>
    <row r="1" spans="2:8" s="9" customFormat="1" x14ac:dyDescent="0.45">
      <c r="B1" s="8" t="s">
        <v>156</v>
      </c>
    </row>
    <row r="2" spans="2:8" x14ac:dyDescent="0.45">
      <c r="B2" s="7"/>
    </row>
    <row r="3" spans="2:8" x14ac:dyDescent="0.45">
      <c r="B3" s="16" t="s">
        <v>162</v>
      </c>
      <c r="C3" s="4" t="s">
        <v>161</v>
      </c>
      <c r="D3" s="4" t="s">
        <v>160</v>
      </c>
      <c r="F3" s="4" t="s">
        <v>159</v>
      </c>
      <c r="G3" s="4" t="s">
        <v>158</v>
      </c>
      <c r="H3" s="4" t="s">
        <v>157</v>
      </c>
    </row>
    <row r="4" spans="2:8" x14ac:dyDescent="0.45">
      <c r="B4" s="17"/>
      <c r="C4" s="15">
        <v>2010</v>
      </c>
      <c r="D4" s="15">
        <v>1</v>
      </c>
      <c r="F4" s="5" t="s">
        <v>9</v>
      </c>
      <c r="G4" s="3">
        <f>INDEX(Table都道府県[都道府県コード],MATCH(F4,Table都道府県[日本語表記],0))</f>
        <v>10</v>
      </c>
      <c r="H4" s="3" t="str">
        <f>INDEX(Table都道府県[英語表記],MATCH(F4,Table都道府県[日本語表記],0))</f>
        <v>Gunma Prefecture</v>
      </c>
    </row>
    <row r="6" spans="2:8" x14ac:dyDescent="0.45">
      <c r="B6" s="16" t="s">
        <v>163</v>
      </c>
      <c r="C6" s="4" t="s">
        <v>161</v>
      </c>
      <c r="D6" s="4" t="s">
        <v>160</v>
      </c>
      <c r="F6" s="4" t="s">
        <v>169</v>
      </c>
      <c r="G6" s="4" t="s">
        <v>158</v>
      </c>
    </row>
    <row r="7" spans="2:8" x14ac:dyDescent="0.45">
      <c r="B7" s="17"/>
      <c r="C7" s="15">
        <v>2013</v>
      </c>
      <c r="D7" s="15">
        <v>4</v>
      </c>
      <c r="F7" s="5" t="s">
        <v>10</v>
      </c>
      <c r="G7" s="3">
        <f>INDEX(Table市区町村[コード],MATCH(F7,Table市区町村[市区町村名],0))</f>
        <v>10201</v>
      </c>
    </row>
    <row r="9" spans="2:8" x14ac:dyDescent="0.45">
      <c r="F9" s="4" t="s">
        <v>196</v>
      </c>
      <c r="G9" s="4" t="s">
        <v>158</v>
      </c>
    </row>
    <row r="10" spans="2:8" x14ac:dyDescent="0.45">
      <c r="F10" s="5"/>
      <c r="G10" s="3" t="e">
        <f>INDEX(Table駅[コード],MATCH(F10,Table駅[駅名],0))</f>
        <v>#N/A</v>
      </c>
      <c r="H10" t="s">
        <v>197</v>
      </c>
    </row>
  </sheetData>
  <sheetProtection sheet="1" objects="1" scenarios="1"/>
  <mergeCells count="2">
    <mergeCell ref="B3:B4"/>
    <mergeCell ref="B6:B7"/>
  </mergeCells>
  <phoneticPr fontId="1"/>
  <dataValidations count="2">
    <dataValidation type="whole" allowBlank="1" showInputMessage="1" showErrorMessage="1" sqref="C7 C4" xr:uid="{220FEA35-3B69-4E7E-9E3F-7BBA22AB91BC}">
      <formula1>2005</formula1>
      <formula2>2999</formula2>
    </dataValidation>
    <dataValidation type="list" allowBlank="1" showInputMessage="1" showErrorMessage="1" sqref="D4 D7" xr:uid="{C939C1A7-367B-4F87-999D-113914BEBBAE}">
      <formula1>"1,2,3,4"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mdSubmit">
          <controlPr defaultSize="0" autoLine="0" autoPict="0" r:id="rId4">
            <anchor moveWithCells="1">
              <from>
                <xdr:col>1</xdr:col>
                <xdr:colOff>121920</xdr:colOff>
                <xdr:row>9</xdr:row>
                <xdr:rowOff>30480</xdr:rowOff>
              </from>
              <to>
                <xdr:col>2</xdr:col>
                <xdr:colOff>830580</xdr:colOff>
                <xdr:row>11</xdr:row>
                <xdr:rowOff>0</xdr:rowOff>
              </to>
            </anchor>
          </controlPr>
        </control>
      </mc:Choice>
      <mc:Fallback>
        <control shapeId="6146" r:id="rId3" name="cmdSubmit"/>
      </mc:Fallback>
    </mc:AlternateContent>
    <mc:AlternateContent xmlns:mc="http://schemas.openxmlformats.org/markup-compatibility/2006">
      <mc:Choice Requires="x14">
        <control shapeId="6151" r:id="rId5" name="cmdGetCityList">
          <controlPr defaultSize="0" autoLine="0" autoPict="0" r:id="rId6">
            <anchor moveWithCells="1">
              <from>
                <xdr:col>7</xdr:col>
                <xdr:colOff>121920</xdr:colOff>
                <xdr:row>5</xdr:row>
                <xdr:rowOff>30480</xdr:rowOff>
              </from>
              <to>
                <xdr:col>7</xdr:col>
                <xdr:colOff>1684020</xdr:colOff>
                <xdr:row>7</xdr:row>
                <xdr:rowOff>0</xdr:rowOff>
              </to>
            </anchor>
          </controlPr>
        </control>
      </mc:Choice>
      <mc:Fallback>
        <control shapeId="6151" r:id="rId5" name="cmdGetCityLis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0F0D0A-5AD7-4E4B-962D-37E36C209613}">
          <x14:formula1>
            <xm:f>市区町村コード!$B$2:$B$36</xm:f>
          </x14:formula1>
          <xm:sqref>F7</xm:sqref>
        </x14:dataValidation>
        <x14:dataValidation type="list" allowBlank="1" showInputMessage="1" showErrorMessage="1" xr:uid="{381F952E-E228-4E39-8FF6-E7F9909632BB}">
          <x14:formula1>
            <xm:f>都道府県コード!$B$2:$B$48</xm:f>
          </x14:formula1>
          <xm:sqref>F4</xm:sqref>
        </x14:dataValidation>
        <x14:dataValidation type="list" allowBlank="1" showInputMessage="1" showErrorMessage="1" xr:uid="{3DC31EBA-6F43-4556-BE9B-1A1E4B6C8D9E}">
          <x14:formula1>
            <xm:f>駅コード!$B$2:$B$2</xm:f>
          </x14:formula1>
          <xm:sqref>F10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95F5-6F7C-49F5-9EFC-A4A48464A127}">
  <sheetPr codeName="SheetList"/>
  <dimension ref="A1:AA6"/>
  <sheetViews>
    <sheetView showGridLines="0" workbookViewId="0">
      <pane ySplit="1" topLeftCell="A2" activePane="bottomLeft" state="frozen"/>
      <selection pane="bottomLeft" activeCell="B11" sqref="B11"/>
    </sheetView>
  </sheetViews>
  <sheetFormatPr defaultRowHeight="18" x14ac:dyDescent="0.45"/>
  <cols>
    <col min="1" max="1" width="16.296875" style="1" bestFit="1" customWidth="1"/>
    <col min="2" max="2" width="10.3984375" style="2" bestFit="1" customWidth="1"/>
    <col min="3" max="3" width="16.3984375" style="13" bestFit="1" customWidth="1"/>
    <col min="4" max="4" width="12.3984375" bestFit="1" customWidth="1"/>
    <col min="5" max="6" width="16.296875" bestFit="1" customWidth="1"/>
    <col min="7" max="7" width="18.296875" style="14" bestFit="1" customWidth="1"/>
    <col min="8" max="8" width="9.8984375" style="14" bestFit="1" customWidth="1"/>
    <col min="9" max="9" width="14.3984375" bestFit="1" customWidth="1"/>
    <col min="10" max="10" width="22.19921875" bestFit="1" customWidth="1"/>
    <col min="11" max="11" width="30.09765625" style="14" bestFit="1" customWidth="1"/>
    <col min="12" max="12" width="12.3984375" bestFit="1" customWidth="1"/>
    <col min="13" max="13" width="10.09765625" bestFit="1" customWidth="1"/>
    <col min="14" max="14" width="23.69921875" bestFit="1" customWidth="1"/>
    <col min="15" max="15" width="8.796875" bestFit="1" customWidth="1"/>
    <col min="16" max="16" width="12.3984375" bestFit="1" customWidth="1"/>
    <col min="17" max="17" width="20.19921875" bestFit="1" customWidth="1"/>
    <col min="18" max="20" width="16.3984375" bestFit="1" customWidth="1"/>
    <col min="21" max="21" width="22.19921875" bestFit="1" customWidth="1"/>
    <col min="22" max="22" width="43.69921875" bestFit="1" customWidth="1"/>
    <col min="23" max="23" width="16.3984375" bestFit="1" customWidth="1"/>
    <col min="24" max="24" width="14.3984375" bestFit="1" customWidth="1"/>
    <col min="25" max="25" width="16.69921875" bestFit="1" customWidth="1"/>
    <col min="26" max="26" width="7" bestFit="1" customWidth="1"/>
    <col min="27" max="27" width="28.09765625" bestFit="1" customWidth="1"/>
  </cols>
  <sheetData>
    <row r="1" spans="1:27" x14ac:dyDescent="0.45">
      <c r="A1" s="1" t="s">
        <v>126</v>
      </c>
      <c r="B1" s="2" t="s">
        <v>127</v>
      </c>
      <c r="C1" s="13" t="s">
        <v>128</v>
      </c>
      <c r="D1" t="s">
        <v>129</v>
      </c>
      <c r="E1" t="s">
        <v>130</v>
      </c>
      <c r="F1" t="s">
        <v>131</v>
      </c>
      <c r="G1" s="14" t="s">
        <v>132</v>
      </c>
      <c r="H1" s="14" t="s">
        <v>133</v>
      </c>
      <c r="I1" t="s">
        <v>134</v>
      </c>
      <c r="J1" t="s">
        <v>135</v>
      </c>
      <c r="K1" s="14" t="s">
        <v>136</v>
      </c>
      <c r="L1" t="s">
        <v>137</v>
      </c>
      <c r="M1" t="s">
        <v>138</v>
      </c>
      <c r="N1" t="s">
        <v>139</v>
      </c>
      <c r="O1" t="s">
        <v>152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</row>
    <row r="2" spans="1:27" x14ac:dyDescent="0.45">
      <c r="A2" s="1" t="s">
        <v>212</v>
      </c>
      <c r="B2" s="2" t="s">
        <v>108</v>
      </c>
      <c r="C2" s="13" t="s">
        <v>198</v>
      </c>
      <c r="D2" t="s">
        <v>13</v>
      </c>
      <c r="E2" t="s">
        <v>199</v>
      </c>
      <c r="F2" t="s">
        <v>200</v>
      </c>
      <c r="G2" s="14">
        <v>450000000</v>
      </c>
      <c r="J2">
        <v>65</v>
      </c>
      <c r="L2" t="s">
        <v>106</v>
      </c>
      <c r="M2">
        <v>8</v>
      </c>
      <c r="N2">
        <v>420</v>
      </c>
      <c r="O2" t="s">
        <v>201</v>
      </c>
      <c r="P2" t="s">
        <v>105</v>
      </c>
      <c r="Q2" t="s">
        <v>202</v>
      </c>
      <c r="S2" t="s">
        <v>103</v>
      </c>
      <c r="T2" t="s">
        <v>203</v>
      </c>
      <c r="U2">
        <v>15</v>
      </c>
      <c r="V2" t="s">
        <v>109</v>
      </c>
      <c r="W2">
        <v>80</v>
      </c>
      <c r="X2">
        <v>800</v>
      </c>
      <c r="Y2" t="s">
        <v>204</v>
      </c>
    </row>
    <row r="3" spans="1:27" x14ac:dyDescent="0.45">
      <c r="A3" s="1" t="s">
        <v>110</v>
      </c>
      <c r="C3" s="13" t="s">
        <v>198</v>
      </c>
      <c r="D3" t="s">
        <v>13</v>
      </c>
      <c r="E3" t="s">
        <v>199</v>
      </c>
      <c r="F3" t="s">
        <v>205</v>
      </c>
      <c r="G3" s="14">
        <v>20000000</v>
      </c>
      <c r="I3" t="s">
        <v>155</v>
      </c>
      <c r="J3">
        <v>25</v>
      </c>
      <c r="P3" t="s">
        <v>112</v>
      </c>
      <c r="Q3" t="s">
        <v>100</v>
      </c>
      <c r="V3" t="s">
        <v>109</v>
      </c>
      <c r="W3">
        <v>80</v>
      </c>
      <c r="X3">
        <v>800</v>
      </c>
      <c r="Y3" t="s">
        <v>206</v>
      </c>
      <c r="Z3" t="s">
        <v>154</v>
      </c>
    </row>
    <row r="4" spans="1:27" x14ac:dyDescent="0.45">
      <c r="A4" s="1" t="s">
        <v>99</v>
      </c>
      <c r="B4" s="2" t="s">
        <v>108</v>
      </c>
      <c r="C4" s="13" t="s">
        <v>198</v>
      </c>
      <c r="D4" t="s">
        <v>13</v>
      </c>
      <c r="E4" t="s">
        <v>199</v>
      </c>
      <c r="F4" t="s">
        <v>205</v>
      </c>
      <c r="G4" s="14">
        <v>1400000000</v>
      </c>
      <c r="J4">
        <v>160</v>
      </c>
      <c r="L4" t="s">
        <v>98</v>
      </c>
      <c r="M4">
        <v>8</v>
      </c>
      <c r="N4">
        <v>790</v>
      </c>
      <c r="O4" t="s">
        <v>111</v>
      </c>
      <c r="P4" t="s">
        <v>112</v>
      </c>
      <c r="Q4" t="s">
        <v>207</v>
      </c>
      <c r="S4" t="s">
        <v>104</v>
      </c>
      <c r="T4" t="s">
        <v>208</v>
      </c>
      <c r="U4">
        <v>43.9</v>
      </c>
      <c r="V4" t="s">
        <v>109</v>
      </c>
      <c r="W4">
        <v>80</v>
      </c>
      <c r="X4">
        <v>800</v>
      </c>
      <c r="Y4" t="s">
        <v>209</v>
      </c>
    </row>
    <row r="5" spans="1:27" x14ac:dyDescent="0.45">
      <c r="A5" s="1" t="s">
        <v>99</v>
      </c>
      <c r="B5" s="2" t="s">
        <v>108</v>
      </c>
      <c r="C5" s="13" t="s">
        <v>198</v>
      </c>
      <c r="D5" t="s">
        <v>13</v>
      </c>
      <c r="E5" t="s">
        <v>199</v>
      </c>
      <c r="F5" t="s">
        <v>205</v>
      </c>
      <c r="G5" s="14">
        <v>1200000000</v>
      </c>
      <c r="J5">
        <v>75</v>
      </c>
      <c r="L5" t="s">
        <v>102</v>
      </c>
      <c r="M5">
        <v>5.8</v>
      </c>
      <c r="N5">
        <v>730</v>
      </c>
      <c r="O5" t="s">
        <v>210</v>
      </c>
      <c r="P5" t="s">
        <v>112</v>
      </c>
      <c r="Q5" t="s">
        <v>207</v>
      </c>
      <c r="S5" t="s">
        <v>104</v>
      </c>
      <c r="T5" t="s">
        <v>208</v>
      </c>
      <c r="U5">
        <v>43.9</v>
      </c>
      <c r="V5" t="s">
        <v>109</v>
      </c>
      <c r="W5">
        <v>80</v>
      </c>
      <c r="X5">
        <v>800</v>
      </c>
      <c r="Y5" t="s">
        <v>209</v>
      </c>
    </row>
    <row r="6" spans="1:27" x14ac:dyDescent="0.45">
      <c r="A6" s="1" t="s">
        <v>99</v>
      </c>
      <c r="B6" s="2" t="s">
        <v>108</v>
      </c>
      <c r="C6" s="13" t="s">
        <v>198</v>
      </c>
      <c r="D6" t="s">
        <v>13</v>
      </c>
      <c r="E6" t="s">
        <v>199</v>
      </c>
      <c r="F6" t="s">
        <v>205</v>
      </c>
      <c r="G6" s="14">
        <v>2400000000</v>
      </c>
      <c r="J6">
        <v>370</v>
      </c>
      <c r="L6" t="s">
        <v>98</v>
      </c>
      <c r="M6">
        <v>24</v>
      </c>
      <c r="N6" t="s">
        <v>107</v>
      </c>
      <c r="O6" t="s">
        <v>113</v>
      </c>
      <c r="P6" t="s">
        <v>112</v>
      </c>
      <c r="Q6" t="s">
        <v>207</v>
      </c>
      <c r="S6" t="s">
        <v>101</v>
      </c>
      <c r="T6" t="s">
        <v>203</v>
      </c>
      <c r="U6">
        <v>11</v>
      </c>
      <c r="V6" t="s">
        <v>109</v>
      </c>
      <c r="W6">
        <v>80</v>
      </c>
      <c r="X6">
        <v>700</v>
      </c>
      <c r="Y6" t="s">
        <v>211</v>
      </c>
      <c r="AA6" t="s">
        <v>153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00479-9D03-423D-AB85-1146B7FF317B}">
  <sheetPr codeName="SheetPrefectures"/>
  <dimension ref="A1:F48"/>
  <sheetViews>
    <sheetView showGridLines="0" workbookViewId="0">
      <pane ySplit="1" topLeftCell="A2" activePane="bottomLeft" state="frozen"/>
      <selection pane="bottomLeft" activeCell="F14" sqref="F14"/>
    </sheetView>
  </sheetViews>
  <sheetFormatPr defaultRowHeight="18" x14ac:dyDescent="0.45"/>
  <cols>
    <col min="1" max="1" width="17.59765625" bestFit="1" customWidth="1"/>
    <col min="2" max="2" width="13.8984375" style="11" bestFit="1" customWidth="1"/>
    <col min="3" max="3" width="20.69921875" bestFit="1" customWidth="1"/>
    <col min="4" max="4" width="20.69921875" style="11" bestFit="1" customWidth="1"/>
    <col min="7" max="7" width="20.69921875" style="11" bestFit="1" customWidth="1"/>
    <col min="8" max="16384" width="8.796875" style="11"/>
  </cols>
  <sheetData>
    <row r="1" spans="1:6" ht="16.2" x14ac:dyDescent="0.45">
      <c r="A1" s="10" t="s">
        <v>48</v>
      </c>
      <c r="B1" s="10" t="s">
        <v>49</v>
      </c>
      <c r="C1" s="10" t="s">
        <v>50</v>
      </c>
      <c r="E1" s="11"/>
      <c r="F1" s="11"/>
    </row>
    <row r="2" spans="1:6" ht="16.2" x14ac:dyDescent="0.45">
      <c r="A2" s="12">
        <v>1</v>
      </c>
      <c r="B2" s="12" t="s">
        <v>0</v>
      </c>
      <c r="C2" s="12" t="s">
        <v>51</v>
      </c>
      <c r="E2" s="11"/>
      <c r="F2" s="11"/>
    </row>
    <row r="3" spans="1:6" ht="16.2" x14ac:dyDescent="0.45">
      <c r="A3" s="12">
        <v>2</v>
      </c>
      <c r="B3" s="12" t="s">
        <v>1</v>
      </c>
      <c r="C3" s="12" t="s">
        <v>52</v>
      </c>
      <c r="E3" s="11"/>
      <c r="F3" s="11"/>
    </row>
    <row r="4" spans="1:6" ht="16.2" x14ac:dyDescent="0.45">
      <c r="A4" s="12">
        <v>3</v>
      </c>
      <c r="B4" s="12" t="s">
        <v>2</v>
      </c>
      <c r="C4" s="12" t="s">
        <v>53</v>
      </c>
      <c r="E4" s="11"/>
      <c r="F4" s="11"/>
    </row>
    <row r="5" spans="1:6" ht="16.2" x14ac:dyDescent="0.45">
      <c r="A5" s="12">
        <v>4</v>
      </c>
      <c r="B5" s="12" t="s">
        <v>3</v>
      </c>
      <c r="C5" s="12" t="s">
        <v>54</v>
      </c>
      <c r="E5" s="11"/>
      <c r="F5" s="11"/>
    </row>
    <row r="6" spans="1:6" ht="16.2" x14ac:dyDescent="0.45">
      <c r="A6" s="12">
        <v>5</v>
      </c>
      <c r="B6" s="12" t="s">
        <v>4</v>
      </c>
      <c r="C6" s="12" t="s">
        <v>55</v>
      </c>
      <c r="E6" s="11"/>
      <c r="F6" s="11"/>
    </row>
    <row r="7" spans="1:6" ht="16.2" x14ac:dyDescent="0.45">
      <c r="A7" s="12">
        <v>6</v>
      </c>
      <c r="B7" s="12" t="s">
        <v>5</v>
      </c>
      <c r="C7" s="12" t="s">
        <v>56</v>
      </c>
      <c r="E7" s="11"/>
      <c r="F7" s="11"/>
    </row>
    <row r="8" spans="1:6" ht="16.2" x14ac:dyDescent="0.45">
      <c r="A8" s="12">
        <v>7</v>
      </c>
      <c r="B8" s="12" t="s">
        <v>6</v>
      </c>
      <c r="C8" s="12" t="s">
        <v>57</v>
      </c>
      <c r="E8" s="11"/>
      <c r="F8" s="11"/>
    </row>
    <row r="9" spans="1:6" ht="16.2" x14ac:dyDescent="0.45">
      <c r="A9" s="12">
        <v>8</v>
      </c>
      <c r="B9" s="12" t="s">
        <v>7</v>
      </c>
      <c r="C9" s="12" t="s">
        <v>58</v>
      </c>
      <c r="E9" s="11"/>
      <c r="F9" s="11"/>
    </row>
    <row r="10" spans="1:6" ht="16.2" x14ac:dyDescent="0.45">
      <c r="A10" s="12">
        <v>9</v>
      </c>
      <c r="B10" s="12" t="s">
        <v>8</v>
      </c>
      <c r="C10" s="12" t="s">
        <v>59</v>
      </c>
      <c r="E10" s="11"/>
      <c r="F10" s="11"/>
    </row>
    <row r="11" spans="1:6" ht="16.2" x14ac:dyDescent="0.45">
      <c r="A11" s="12">
        <v>10</v>
      </c>
      <c r="B11" s="12" t="s">
        <v>9</v>
      </c>
      <c r="C11" s="12" t="s">
        <v>60</v>
      </c>
      <c r="E11" s="11"/>
      <c r="F11" s="11"/>
    </row>
    <row r="12" spans="1:6" ht="16.2" x14ac:dyDescent="0.45">
      <c r="A12" s="12">
        <v>11</v>
      </c>
      <c r="B12" s="12" t="s">
        <v>11</v>
      </c>
      <c r="C12" s="12" t="s">
        <v>61</v>
      </c>
      <c r="E12" s="11"/>
      <c r="F12" s="11"/>
    </row>
    <row r="13" spans="1:6" ht="16.2" x14ac:dyDescent="0.45">
      <c r="A13" s="12">
        <v>12</v>
      </c>
      <c r="B13" s="12" t="s">
        <v>12</v>
      </c>
      <c r="C13" s="12" t="s">
        <v>62</v>
      </c>
      <c r="E13" s="11"/>
      <c r="F13" s="11"/>
    </row>
    <row r="14" spans="1:6" ht="16.2" x14ac:dyDescent="0.45">
      <c r="A14" s="12">
        <v>13</v>
      </c>
      <c r="B14" s="12" t="s">
        <v>13</v>
      </c>
      <c r="C14" s="12" t="s">
        <v>63</v>
      </c>
      <c r="E14" s="11"/>
      <c r="F14" s="11"/>
    </row>
    <row r="15" spans="1:6" ht="16.2" x14ac:dyDescent="0.45">
      <c r="A15" s="12">
        <v>14</v>
      </c>
      <c r="B15" s="12" t="s">
        <v>14</v>
      </c>
      <c r="C15" s="12" t="s">
        <v>64</v>
      </c>
      <c r="E15" s="11"/>
      <c r="F15" s="11"/>
    </row>
    <row r="16" spans="1:6" ht="16.2" x14ac:dyDescent="0.45">
      <c r="A16" s="12">
        <v>15</v>
      </c>
      <c r="B16" s="12" t="s">
        <v>15</v>
      </c>
      <c r="C16" s="12" t="s">
        <v>65</v>
      </c>
      <c r="E16" s="11"/>
      <c r="F16" s="11"/>
    </row>
    <row r="17" spans="1:6" ht="16.2" x14ac:dyDescent="0.45">
      <c r="A17" s="12">
        <v>16</v>
      </c>
      <c r="B17" s="12" t="s">
        <v>16</v>
      </c>
      <c r="C17" s="12" t="s">
        <v>66</v>
      </c>
      <c r="E17" s="11"/>
      <c r="F17" s="11"/>
    </row>
    <row r="18" spans="1:6" ht="16.2" x14ac:dyDescent="0.45">
      <c r="A18" s="12">
        <v>17</v>
      </c>
      <c r="B18" s="12" t="s">
        <v>17</v>
      </c>
      <c r="C18" s="12" t="s">
        <v>67</v>
      </c>
      <c r="E18" s="11"/>
      <c r="F18" s="11"/>
    </row>
    <row r="19" spans="1:6" ht="16.2" x14ac:dyDescent="0.45">
      <c r="A19" s="12">
        <v>18</v>
      </c>
      <c r="B19" s="12" t="s">
        <v>18</v>
      </c>
      <c r="C19" s="12" t="s">
        <v>68</v>
      </c>
      <c r="E19" s="11"/>
      <c r="F19" s="11"/>
    </row>
    <row r="20" spans="1:6" ht="16.2" x14ac:dyDescent="0.45">
      <c r="A20" s="12">
        <v>19</v>
      </c>
      <c r="B20" s="12" t="s">
        <v>19</v>
      </c>
      <c r="C20" s="12" t="s">
        <v>69</v>
      </c>
      <c r="E20" s="11"/>
      <c r="F20" s="11"/>
    </row>
    <row r="21" spans="1:6" ht="16.2" x14ac:dyDescent="0.45">
      <c r="A21" s="12">
        <v>20</v>
      </c>
      <c r="B21" s="12" t="s">
        <v>20</v>
      </c>
      <c r="C21" s="12" t="s">
        <v>70</v>
      </c>
      <c r="E21" s="11"/>
      <c r="F21" s="11"/>
    </row>
    <row r="22" spans="1:6" ht="16.2" x14ac:dyDescent="0.45">
      <c r="A22" s="12">
        <v>21</v>
      </c>
      <c r="B22" s="12" t="s">
        <v>21</v>
      </c>
      <c r="C22" s="12" t="s">
        <v>71</v>
      </c>
      <c r="E22" s="11"/>
      <c r="F22" s="11"/>
    </row>
    <row r="23" spans="1:6" ht="16.2" x14ac:dyDescent="0.45">
      <c r="A23" s="12">
        <v>22</v>
      </c>
      <c r="B23" s="12" t="s">
        <v>22</v>
      </c>
      <c r="C23" s="12" t="s">
        <v>72</v>
      </c>
      <c r="E23" s="11"/>
      <c r="F23" s="11"/>
    </row>
    <row r="24" spans="1:6" ht="16.2" x14ac:dyDescent="0.45">
      <c r="A24" s="12">
        <v>23</v>
      </c>
      <c r="B24" s="12" t="s">
        <v>23</v>
      </c>
      <c r="C24" s="12" t="s">
        <v>73</v>
      </c>
      <c r="E24" s="11"/>
      <c r="F24" s="11"/>
    </row>
    <row r="25" spans="1:6" ht="16.2" x14ac:dyDescent="0.45">
      <c r="A25" s="12">
        <v>24</v>
      </c>
      <c r="B25" s="12" t="s">
        <v>24</v>
      </c>
      <c r="C25" s="12" t="s">
        <v>74</v>
      </c>
      <c r="E25" s="11"/>
      <c r="F25" s="11"/>
    </row>
    <row r="26" spans="1:6" ht="16.2" x14ac:dyDescent="0.45">
      <c r="A26" s="12">
        <v>25</v>
      </c>
      <c r="B26" s="12" t="s">
        <v>25</v>
      </c>
      <c r="C26" s="12" t="s">
        <v>75</v>
      </c>
      <c r="E26" s="11"/>
      <c r="F26" s="11"/>
    </row>
    <row r="27" spans="1:6" ht="16.2" x14ac:dyDescent="0.45">
      <c r="A27" s="12">
        <v>26</v>
      </c>
      <c r="B27" s="12" t="s">
        <v>26</v>
      </c>
      <c r="C27" s="12" t="s">
        <v>76</v>
      </c>
      <c r="E27" s="11"/>
      <c r="F27" s="11"/>
    </row>
    <row r="28" spans="1:6" ht="16.2" x14ac:dyDescent="0.45">
      <c r="A28" s="12">
        <v>27</v>
      </c>
      <c r="B28" s="12" t="s">
        <v>27</v>
      </c>
      <c r="C28" s="12" t="s">
        <v>77</v>
      </c>
      <c r="E28" s="11"/>
      <c r="F28" s="11"/>
    </row>
    <row r="29" spans="1:6" ht="16.2" x14ac:dyDescent="0.45">
      <c r="A29" s="12">
        <v>28</v>
      </c>
      <c r="B29" s="12" t="s">
        <v>28</v>
      </c>
      <c r="C29" s="12" t="s">
        <v>78</v>
      </c>
      <c r="E29" s="11"/>
      <c r="F29" s="11"/>
    </row>
    <row r="30" spans="1:6" ht="16.2" x14ac:dyDescent="0.45">
      <c r="A30" s="12">
        <v>29</v>
      </c>
      <c r="B30" s="12" t="s">
        <v>29</v>
      </c>
      <c r="C30" s="12" t="s">
        <v>79</v>
      </c>
      <c r="E30" s="11"/>
      <c r="F30" s="11"/>
    </row>
    <row r="31" spans="1:6" ht="16.2" x14ac:dyDescent="0.45">
      <c r="A31" s="12">
        <v>30</v>
      </c>
      <c r="B31" s="12" t="s">
        <v>30</v>
      </c>
      <c r="C31" s="12" t="s">
        <v>80</v>
      </c>
      <c r="E31" s="11"/>
      <c r="F31" s="11"/>
    </row>
    <row r="32" spans="1:6" ht="16.2" x14ac:dyDescent="0.45">
      <c r="A32" s="12">
        <v>31</v>
      </c>
      <c r="B32" s="12" t="s">
        <v>31</v>
      </c>
      <c r="C32" s="12" t="s">
        <v>81</v>
      </c>
      <c r="E32" s="11"/>
      <c r="F32" s="11"/>
    </row>
    <row r="33" spans="1:6" ht="16.2" x14ac:dyDescent="0.45">
      <c r="A33" s="12">
        <v>32</v>
      </c>
      <c r="B33" s="12" t="s">
        <v>32</v>
      </c>
      <c r="C33" s="12" t="s">
        <v>82</v>
      </c>
      <c r="E33" s="11"/>
      <c r="F33" s="11"/>
    </row>
    <row r="34" spans="1:6" ht="16.2" x14ac:dyDescent="0.45">
      <c r="A34" s="12">
        <v>33</v>
      </c>
      <c r="B34" s="12" t="s">
        <v>33</v>
      </c>
      <c r="C34" s="12" t="s">
        <v>83</v>
      </c>
      <c r="E34" s="11"/>
      <c r="F34" s="11"/>
    </row>
    <row r="35" spans="1:6" ht="16.2" x14ac:dyDescent="0.45">
      <c r="A35" s="12">
        <v>34</v>
      </c>
      <c r="B35" s="12" t="s">
        <v>34</v>
      </c>
      <c r="C35" s="12" t="s">
        <v>84</v>
      </c>
      <c r="E35" s="11"/>
      <c r="F35" s="11"/>
    </row>
    <row r="36" spans="1:6" ht="16.2" x14ac:dyDescent="0.45">
      <c r="A36" s="12">
        <v>35</v>
      </c>
      <c r="B36" s="12" t="s">
        <v>35</v>
      </c>
      <c r="C36" s="12" t="s">
        <v>85</v>
      </c>
      <c r="E36" s="11"/>
      <c r="F36" s="11"/>
    </row>
    <row r="37" spans="1:6" ht="16.2" x14ac:dyDescent="0.45">
      <c r="A37" s="12">
        <v>36</v>
      </c>
      <c r="B37" s="12" t="s">
        <v>36</v>
      </c>
      <c r="C37" s="12" t="s">
        <v>86</v>
      </c>
      <c r="E37" s="11"/>
      <c r="F37" s="11"/>
    </row>
    <row r="38" spans="1:6" ht="16.2" x14ac:dyDescent="0.45">
      <c r="A38" s="12">
        <v>37</v>
      </c>
      <c r="B38" s="12" t="s">
        <v>37</v>
      </c>
      <c r="C38" s="12" t="s">
        <v>87</v>
      </c>
      <c r="E38" s="11"/>
      <c r="F38" s="11"/>
    </row>
    <row r="39" spans="1:6" ht="16.2" x14ac:dyDescent="0.45">
      <c r="A39" s="12">
        <v>38</v>
      </c>
      <c r="B39" s="12" t="s">
        <v>38</v>
      </c>
      <c r="C39" s="12" t="s">
        <v>88</v>
      </c>
      <c r="E39" s="11"/>
      <c r="F39" s="11"/>
    </row>
    <row r="40" spans="1:6" ht="16.2" x14ac:dyDescent="0.45">
      <c r="A40" s="12">
        <v>39</v>
      </c>
      <c r="B40" s="12" t="s">
        <v>39</v>
      </c>
      <c r="C40" s="12" t="s">
        <v>89</v>
      </c>
      <c r="E40" s="11"/>
      <c r="F40" s="11"/>
    </row>
    <row r="41" spans="1:6" ht="16.2" x14ac:dyDescent="0.45">
      <c r="A41" s="12">
        <v>40</v>
      </c>
      <c r="B41" s="12" t="s">
        <v>40</v>
      </c>
      <c r="C41" s="12" t="s">
        <v>90</v>
      </c>
      <c r="E41" s="11"/>
      <c r="F41" s="11"/>
    </row>
    <row r="42" spans="1:6" ht="16.2" x14ac:dyDescent="0.45">
      <c r="A42" s="12">
        <v>41</v>
      </c>
      <c r="B42" s="12" t="s">
        <v>41</v>
      </c>
      <c r="C42" s="12" t="s">
        <v>91</v>
      </c>
      <c r="E42" s="11"/>
      <c r="F42" s="11"/>
    </row>
    <row r="43" spans="1:6" ht="16.2" x14ac:dyDescent="0.45">
      <c r="A43" s="12">
        <v>42</v>
      </c>
      <c r="B43" s="12" t="s">
        <v>42</v>
      </c>
      <c r="C43" s="12" t="s">
        <v>92</v>
      </c>
      <c r="E43" s="11"/>
      <c r="F43" s="11"/>
    </row>
    <row r="44" spans="1:6" ht="16.2" x14ac:dyDescent="0.45">
      <c r="A44" s="12">
        <v>43</v>
      </c>
      <c r="B44" s="12" t="s">
        <v>43</v>
      </c>
      <c r="C44" s="12" t="s">
        <v>93</v>
      </c>
      <c r="E44" s="11"/>
      <c r="F44" s="11"/>
    </row>
    <row r="45" spans="1:6" ht="16.2" x14ac:dyDescent="0.45">
      <c r="A45" s="12">
        <v>44</v>
      </c>
      <c r="B45" s="12" t="s">
        <v>44</v>
      </c>
      <c r="C45" s="12" t="s">
        <v>94</v>
      </c>
      <c r="E45" s="11"/>
      <c r="F45" s="11"/>
    </row>
    <row r="46" spans="1:6" ht="16.2" x14ac:dyDescent="0.45">
      <c r="A46" s="12">
        <v>45</v>
      </c>
      <c r="B46" s="12" t="s">
        <v>45</v>
      </c>
      <c r="C46" s="12" t="s">
        <v>95</v>
      </c>
      <c r="E46" s="11"/>
      <c r="F46" s="11"/>
    </row>
    <row r="47" spans="1:6" ht="16.2" x14ac:dyDescent="0.45">
      <c r="A47" s="12">
        <v>46</v>
      </c>
      <c r="B47" s="12" t="s">
        <v>46</v>
      </c>
      <c r="C47" s="12" t="s">
        <v>96</v>
      </c>
      <c r="E47" s="11"/>
      <c r="F47" s="11"/>
    </row>
    <row r="48" spans="1:6" ht="16.2" x14ac:dyDescent="0.45">
      <c r="A48" s="12">
        <v>47</v>
      </c>
      <c r="B48" s="12" t="s">
        <v>47</v>
      </c>
      <c r="C48" s="12" t="s">
        <v>97</v>
      </c>
      <c r="E48" s="11"/>
      <c r="F48" s="1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A7BF-A65C-4A71-B263-7DD3C789192B}">
  <sheetPr codeName="SheetCity"/>
  <dimension ref="A1:B36"/>
  <sheetViews>
    <sheetView showGridLines="0" workbookViewId="0">
      <pane ySplit="1" topLeftCell="A2" activePane="bottomLeft" state="frozen"/>
      <selection pane="bottomLeft" activeCell="H11" sqref="H11"/>
    </sheetView>
  </sheetViews>
  <sheetFormatPr defaultRowHeight="18" x14ac:dyDescent="0.45"/>
  <cols>
    <col min="2" max="2" width="11.59765625" customWidth="1"/>
  </cols>
  <sheetData>
    <row r="1" spans="1:2" x14ac:dyDescent="0.45">
      <c r="A1" t="s">
        <v>167</v>
      </c>
      <c r="B1" t="s">
        <v>168</v>
      </c>
    </row>
    <row r="2" spans="1:2" x14ac:dyDescent="0.45">
      <c r="A2">
        <v>10201</v>
      </c>
      <c r="B2" t="s">
        <v>10</v>
      </c>
    </row>
    <row r="3" spans="1:2" x14ac:dyDescent="0.45">
      <c r="A3">
        <v>10202</v>
      </c>
      <c r="B3" t="s">
        <v>115</v>
      </c>
    </row>
    <row r="4" spans="1:2" x14ac:dyDescent="0.45">
      <c r="A4">
        <v>10203</v>
      </c>
      <c r="B4" t="s">
        <v>116</v>
      </c>
    </row>
    <row r="5" spans="1:2" x14ac:dyDescent="0.45">
      <c r="A5">
        <v>10204</v>
      </c>
      <c r="B5" t="s">
        <v>117</v>
      </c>
    </row>
    <row r="6" spans="1:2" x14ac:dyDescent="0.45">
      <c r="A6">
        <v>10205</v>
      </c>
      <c r="B6" t="s">
        <v>118</v>
      </c>
    </row>
    <row r="7" spans="1:2" x14ac:dyDescent="0.45">
      <c r="A7">
        <v>10206</v>
      </c>
      <c r="B7" t="s">
        <v>119</v>
      </c>
    </row>
    <row r="8" spans="1:2" x14ac:dyDescent="0.45">
      <c r="A8">
        <v>10207</v>
      </c>
      <c r="B8" t="s">
        <v>120</v>
      </c>
    </row>
    <row r="9" spans="1:2" x14ac:dyDescent="0.45">
      <c r="A9">
        <v>10208</v>
      </c>
      <c r="B9" t="s">
        <v>121</v>
      </c>
    </row>
    <row r="10" spans="1:2" x14ac:dyDescent="0.45">
      <c r="A10">
        <v>10209</v>
      </c>
      <c r="B10" t="s">
        <v>122</v>
      </c>
    </row>
    <row r="11" spans="1:2" x14ac:dyDescent="0.45">
      <c r="A11">
        <v>10210</v>
      </c>
      <c r="B11" t="s">
        <v>123</v>
      </c>
    </row>
    <row r="12" spans="1:2" x14ac:dyDescent="0.45">
      <c r="A12">
        <v>10211</v>
      </c>
      <c r="B12" t="s">
        <v>124</v>
      </c>
    </row>
    <row r="13" spans="1:2" x14ac:dyDescent="0.45">
      <c r="A13">
        <v>10212</v>
      </c>
      <c r="B13" t="s">
        <v>125</v>
      </c>
    </row>
    <row r="14" spans="1:2" x14ac:dyDescent="0.45">
      <c r="A14">
        <v>10344</v>
      </c>
      <c r="B14" t="s">
        <v>170</v>
      </c>
    </row>
    <row r="15" spans="1:2" x14ac:dyDescent="0.45">
      <c r="A15">
        <v>10345</v>
      </c>
      <c r="B15" t="s">
        <v>171</v>
      </c>
    </row>
    <row r="16" spans="1:2" x14ac:dyDescent="0.45">
      <c r="A16">
        <v>10366</v>
      </c>
      <c r="B16" t="s">
        <v>172</v>
      </c>
    </row>
    <row r="17" spans="1:2" x14ac:dyDescent="0.45">
      <c r="A17">
        <v>10367</v>
      </c>
      <c r="B17" t="s">
        <v>173</v>
      </c>
    </row>
    <row r="18" spans="1:2" x14ac:dyDescent="0.45">
      <c r="A18">
        <v>10382</v>
      </c>
      <c r="B18" t="s">
        <v>174</v>
      </c>
    </row>
    <row r="19" spans="1:2" x14ac:dyDescent="0.45">
      <c r="A19">
        <v>10383</v>
      </c>
      <c r="B19" t="s">
        <v>175</v>
      </c>
    </row>
    <row r="20" spans="1:2" x14ac:dyDescent="0.45">
      <c r="A20">
        <v>10384</v>
      </c>
      <c r="B20" t="s">
        <v>176</v>
      </c>
    </row>
    <row r="21" spans="1:2" x14ac:dyDescent="0.45">
      <c r="A21">
        <v>10421</v>
      </c>
      <c r="B21" t="s">
        <v>177</v>
      </c>
    </row>
    <row r="22" spans="1:2" x14ac:dyDescent="0.45">
      <c r="A22">
        <v>10424</v>
      </c>
      <c r="B22" t="s">
        <v>178</v>
      </c>
    </row>
    <row r="23" spans="1:2" x14ac:dyDescent="0.45">
      <c r="A23">
        <v>10425</v>
      </c>
      <c r="B23" t="s">
        <v>179</v>
      </c>
    </row>
    <row r="24" spans="1:2" x14ac:dyDescent="0.45">
      <c r="A24">
        <v>10426</v>
      </c>
      <c r="B24" t="s">
        <v>180</v>
      </c>
    </row>
    <row r="25" spans="1:2" x14ac:dyDescent="0.45">
      <c r="A25">
        <v>10428</v>
      </c>
      <c r="B25" t="s">
        <v>181</v>
      </c>
    </row>
    <row r="26" spans="1:2" x14ac:dyDescent="0.45">
      <c r="A26">
        <v>10429</v>
      </c>
      <c r="B26" t="s">
        <v>182</v>
      </c>
    </row>
    <row r="27" spans="1:2" x14ac:dyDescent="0.45">
      <c r="A27">
        <v>10443</v>
      </c>
      <c r="B27" t="s">
        <v>183</v>
      </c>
    </row>
    <row r="28" spans="1:2" x14ac:dyDescent="0.45">
      <c r="A28">
        <v>10444</v>
      </c>
      <c r="B28" t="s">
        <v>184</v>
      </c>
    </row>
    <row r="29" spans="1:2" x14ac:dyDescent="0.45">
      <c r="A29">
        <v>10448</v>
      </c>
      <c r="B29" t="s">
        <v>185</v>
      </c>
    </row>
    <row r="30" spans="1:2" x14ac:dyDescent="0.45">
      <c r="A30">
        <v>10449</v>
      </c>
      <c r="B30" t="s">
        <v>186</v>
      </c>
    </row>
    <row r="31" spans="1:2" x14ac:dyDescent="0.45">
      <c r="A31">
        <v>10464</v>
      </c>
      <c r="B31" t="s">
        <v>187</v>
      </c>
    </row>
    <row r="32" spans="1:2" x14ac:dyDescent="0.45">
      <c r="A32">
        <v>10521</v>
      </c>
      <c r="B32" t="s">
        <v>188</v>
      </c>
    </row>
    <row r="33" spans="1:2" x14ac:dyDescent="0.45">
      <c r="A33">
        <v>10522</v>
      </c>
      <c r="B33" t="s">
        <v>189</v>
      </c>
    </row>
    <row r="34" spans="1:2" x14ac:dyDescent="0.45">
      <c r="A34">
        <v>10523</v>
      </c>
      <c r="B34" t="s">
        <v>114</v>
      </c>
    </row>
    <row r="35" spans="1:2" x14ac:dyDescent="0.45">
      <c r="A35">
        <v>10524</v>
      </c>
      <c r="B35" t="s">
        <v>190</v>
      </c>
    </row>
    <row r="36" spans="1:2" x14ac:dyDescent="0.45">
      <c r="A36">
        <v>10525</v>
      </c>
      <c r="B36" t="s">
        <v>191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2909-D948-46D5-8409-438FE06D42F9}">
  <sheetPr codeName="SheetStation"/>
  <dimension ref="A1:B2"/>
  <sheetViews>
    <sheetView showGridLines="0" workbookViewId="0">
      <selection activeCell="F12" sqref="F12"/>
    </sheetView>
  </sheetViews>
  <sheetFormatPr defaultRowHeight="18" x14ac:dyDescent="0.45"/>
  <sheetData>
    <row r="1" spans="1:2" x14ac:dyDescent="0.45">
      <c r="A1" t="s">
        <v>158</v>
      </c>
      <c r="B1" t="s">
        <v>194</v>
      </c>
    </row>
    <row r="2" spans="1:2" x14ac:dyDescent="0.45">
      <c r="A2">
        <v>2590</v>
      </c>
      <c r="B2" t="s">
        <v>195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説明</vt:lpstr>
      <vt:lpstr>実行</vt:lpstr>
      <vt:lpstr>リスト</vt:lpstr>
      <vt:lpstr>都道府県コード</vt:lpstr>
      <vt:lpstr>市区町村コード</vt:lpstr>
      <vt:lpstr>駅コード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hoshino_n</dc:creator>
  <cp:lastModifiedBy>hoshino_n</cp:lastModifiedBy>
  <dcterms:created xsi:type="dcterms:W3CDTF">2022-09-20T04:33:43Z</dcterms:created>
  <dcterms:modified xsi:type="dcterms:W3CDTF">2022-10-06T07:32:20Z</dcterms:modified>
</cp:coreProperties>
</file>